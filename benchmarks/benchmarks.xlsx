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ghtHouse Web Vitals Metrics" sheetId="1" r:id="rId4"/>
    <sheet state="visible" name="SEO + Network Metrics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7">
      <text>
        <t xml:space="preserve">Wstępna liczba żądań to 26, SSR kolejne żądania wysyła dopiero gdy użytkownik zjedzie niżej na stronę, żądając tylko te dane, które aktualnie są widoczne dla użytkownika
	-Łukasz Wróbel</t>
      </text>
    </comment>
  </commentList>
</comments>
</file>

<file path=xl/sharedStrings.xml><?xml version="1.0" encoding="utf-8"?>
<sst xmlns="http://schemas.openxmlformats.org/spreadsheetml/2006/main" count="152" uniqueCount="45">
  <si>
    <t>Strona domowa</t>
  </si>
  <si>
    <t>Strona produktów - 12 produktów na stronie</t>
  </si>
  <si>
    <t>Strona produktów - 96 produktów na stronie</t>
  </si>
  <si>
    <t>Strona produktów - 200 produktów na stronie</t>
  </si>
  <si>
    <t>CSR (SPA)</t>
  </si>
  <si>
    <t>SSR</t>
  </si>
  <si>
    <t>SSG</t>
  </si>
  <si>
    <t>FCP [s]</t>
  </si>
  <si>
    <t>Avg. FCP [s]</t>
  </si>
  <si>
    <t>LCP [s]</t>
  </si>
  <si>
    <t>Avg. LCP [s]</t>
  </si>
  <si>
    <t>TBT [ms]</t>
  </si>
  <si>
    <t>Avg. TBT [ms]</t>
  </si>
  <si>
    <t>CLS</t>
  </si>
  <si>
    <t>Avg. CLS</t>
  </si>
  <si>
    <t>SI [s]</t>
  </si>
  <si>
    <t>Avg. SI [s]</t>
  </si>
  <si>
    <t>Strona produktów - 200 wyświetlanych produktów</t>
  </si>
  <si>
    <t>SEO</t>
  </si>
  <si>
    <t>Rozmiar dokumentu HTML</t>
  </si>
  <si>
    <t>0,8 kB</t>
  </si>
  <si>
    <t>7,9 kB</t>
  </si>
  <si>
    <t>6,7 kB</t>
  </si>
  <si>
    <t>5,3 kB</t>
  </si>
  <si>
    <t>3,6 kB</t>
  </si>
  <si>
    <t>Ilość pakietów JS</t>
  </si>
  <si>
    <t>Rozmiar pakietów JS</t>
  </si>
  <si>
    <t>102 kB</t>
  </si>
  <si>
    <t>170 kB</t>
  </si>
  <si>
    <t>79,8 kB</t>
  </si>
  <si>
    <t>100 kB</t>
  </si>
  <si>
    <t>Całkowita liczba żądań HTTP</t>
  </si>
  <si>
    <t>Całkowity rozmiar transferowanych danych</t>
  </si>
  <si>
    <t>207 kB</t>
  </si>
  <si>
    <t>337 kB</t>
  </si>
  <si>
    <t>191 kB</t>
  </si>
  <si>
    <t>1,1 MB</t>
  </si>
  <si>
    <t>2,0 MB</t>
  </si>
  <si>
    <t>TTFB</t>
  </si>
  <si>
    <t>1,54 ms</t>
  </si>
  <si>
    <t>2,88 ms</t>
  </si>
  <si>
    <t>1,90 ms</t>
  </si>
  <si>
    <t>1,19 ms</t>
  </si>
  <si>
    <t>2,05 ms</t>
  </si>
  <si>
    <t>1,63 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</si>
</sst>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/>
    <font>
      <b/>
      <color theme="1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readingOrder="0" vertical="center"/>
    </xf>
    <xf borderId="6" fillId="0" fontId="1" numFmtId="0" xfId="0" applyAlignment="1" applyBorder="1" applyFont="1">
      <alignment horizontal="center" readingOrder="0" vertical="center"/>
    </xf>
    <xf borderId="7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8" fillId="0" fontId="1" numFmtId="0" xfId="0" applyAlignment="1" applyBorder="1" applyFont="1">
      <alignment horizontal="center" readingOrder="0" vertical="center"/>
    </xf>
    <xf borderId="7" fillId="0" fontId="2" numFmtId="0" xfId="0" applyBorder="1" applyFont="1"/>
    <xf borderId="9" fillId="0" fontId="3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center" readingOrder="0" vertical="center"/>
    </xf>
    <xf borderId="3" fillId="0" fontId="3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vertical="center"/>
    </xf>
    <xf borderId="4" fillId="0" fontId="1" numFmtId="0" xfId="0" applyBorder="1" applyFont="1"/>
    <xf borderId="7" fillId="0" fontId="4" numFmtId="0" xfId="0" applyAlignment="1" applyBorder="1" applyFont="1">
      <alignment horizontal="center"/>
    </xf>
    <xf borderId="10" fillId="0" fontId="1" numFmtId="0" xfId="0" applyBorder="1" applyFont="1"/>
    <xf borderId="11" fillId="0" fontId="1" numFmtId="0" xfId="0" applyBorder="1" applyFont="1"/>
    <xf borderId="4" fillId="0" fontId="4" numFmtId="0" xfId="0" applyAlignment="1" applyBorder="1" applyFont="1">
      <alignment horizontal="center"/>
    </xf>
    <xf borderId="1" fillId="0" fontId="1" numFmtId="0" xfId="0" applyBorder="1" applyFont="1"/>
    <xf borderId="9" fillId="0" fontId="1" numFmtId="0" xfId="0" applyBorder="1" applyFont="1"/>
    <xf borderId="0" fillId="0" fontId="5" numFmtId="0" xfId="0" applyAlignment="1" applyFont="1">
      <alignment horizontal="center"/>
    </xf>
    <xf borderId="12" fillId="0" fontId="2" numFmtId="0" xfId="0" applyBorder="1" applyFont="1"/>
    <xf borderId="9" fillId="0" fontId="3" numFmtId="0" xfId="0" applyAlignment="1" applyBorder="1" applyFont="1">
      <alignment horizontal="center"/>
    </xf>
    <xf borderId="0" fillId="0" fontId="1" numFmtId="0" xfId="0" applyAlignment="1" applyFont="1">
      <alignment horizontal="center" vertical="center"/>
    </xf>
    <xf borderId="8" fillId="0" fontId="1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8" fillId="0" fontId="3" numFmtId="0" xfId="0" applyAlignment="1" applyBorder="1" applyFont="1">
      <alignment horizontal="center" readingOrder="0" vertical="center"/>
    </xf>
    <xf borderId="11" fillId="0" fontId="3" numFmtId="0" xfId="0" applyAlignment="1" applyBorder="1" applyFont="1">
      <alignment horizontal="center" readingOrder="0" vertical="center"/>
    </xf>
    <xf borderId="14" fillId="0" fontId="1" numFmtId="0" xfId="0" applyAlignment="1" applyBorder="1" applyFont="1">
      <alignment horizontal="center" readingOrder="0" vertical="center"/>
    </xf>
    <xf borderId="15" fillId="0" fontId="1" numFmtId="0" xfId="0" applyAlignment="1" applyBorder="1" applyFont="1">
      <alignment horizontal="center" readingOrder="0" vertical="center"/>
    </xf>
    <xf borderId="7" fillId="0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3"/>
      <c r="F1" s="1" t="s">
        <v>1</v>
      </c>
      <c r="G1" s="2"/>
      <c r="H1" s="2"/>
      <c r="I1" s="3"/>
      <c r="K1" s="1" t="s">
        <v>2</v>
      </c>
      <c r="L1" s="2"/>
      <c r="M1" s="2"/>
      <c r="N1" s="3"/>
      <c r="P1" s="1" t="s">
        <v>3</v>
      </c>
      <c r="Q1" s="2"/>
      <c r="R1" s="2"/>
      <c r="S1" s="3"/>
    </row>
    <row r="2">
      <c r="A2" s="4"/>
      <c r="B2" s="5" t="s">
        <v>4</v>
      </c>
      <c r="C2" s="5" t="s">
        <v>5</v>
      </c>
      <c r="D2" s="6" t="s">
        <v>6</v>
      </c>
      <c r="F2" s="4"/>
      <c r="G2" s="5" t="s">
        <v>4</v>
      </c>
      <c r="H2" s="5" t="s">
        <v>5</v>
      </c>
      <c r="I2" s="6" t="s">
        <v>6</v>
      </c>
      <c r="K2" s="4"/>
      <c r="L2" s="5" t="s">
        <v>4</v>
      </c>
      <c r="M2" s="5" t="s">
        <v>5</v>
      </c>
      <c r="N2" s="6" t="s">
        <v>6</v>
      </c>
      <c r="P2" s="4"/>
      <c r="Q2" s="5" t="s">
        <v>4</v>
      </c>
      <c r="R2" s="5" t="s">
        <v>5</v>
      </c>
      <c r="S2" s="6" t="s">
        <v>6</v>
      </c>
    </row>
    <row r="3">
      <c r="A3" s="7" t="s">
        <v>7</v>
      </c>
      <c r="B3" s="8">
        <v>0.4</v>
      </c>
      <c r="C3" s="8">
        <v>0.3</v>
      </c>
      <c r="D3" s="9">
        <v>0.3</v>
      </c>
      <c r="F3" s="7" t="s">
        <v>7</v>
      </c>
      <c r="G3" s="8">
        <v>0.4</v>
      </c>
      <c r="H3" s="8">
        <v>0.3</v>
      </c>
      <c r="I3" s="9">
        <v>0.2</v>
      </c>
      <c r="K3" s="7" t="s">
        <v>7</v>
      </c>
      <c r="L3" s="8">
        <v>0.4</v>
      </c>
      <c r="M3" s="8">
        <v>0.3</v>
      </c>
      <c r="N3" s="9">
        <v>0.2</v>
      </c>
      <c r="P3" s="7" t="s">
        <v>7</v>
      </c>
      <c r="Q3" s="8">
        <v>0.4</v>
      </c>
      <c r="R3" s="8">
        <v>0.3</v>
      </c>
      <c r="S3" s="9">
        <v>0.2</v>
      </c>
    </row>
    <row r="4">
      <c r="A4" s="10"/>
      <c r="B4" s="8">
        <v>0.4</v>
      </c>
      <c r="C4" s="8">
        <v>0.3</v>
      </c>
      <c r="D4" s="9">
        <v>0.2</v>
      </c>
      <c r="F4" s="10"/>
      <c r="G4" s="8">
        <v>0.4</v>
      </c>
      <c r="H4" s="8">
        <v>0.3</v>
      </c>
      <c r="I4" s="9">
        <v>0.2</v>
      </c>
      <c r="K4" s="10"/>
      <c r="L4" s="8">
        <v>0.4</v>
      </c>
      <c r="M4" s="8">
        <v>0.3</v>
      </c>
      <c r="N4" s="9">
        <v>0.2</v>
      </c>
      <c r="P4" s="10"/>
      <c r="Q4" s="8">
        <v>0.4</v>
      </c>
      <c r="R4" s="8">
        <v>0.3</v>
      </c>
      <c r="S4" s="9">
        <v>0.2</v>
      </c>
    </row>
    <row r="5">
      <c r="A5" s="10"/>
      <c r="B5" s="8">
        <v>0.4</v>
      </c>
      <c r="C5" s="8">
        <v>0.2</v>
      </c>
      <c r="D5" s="9">
        <v>0.2</v>
      </c>
      <c r="F5" s="10"/>
      <c r="G5" s="8">
        <v>0.4</v>
      </c>
      <c r="H5" s="8">
        <v>0.3</v>
      </c>
      <c r="I5" s="9">
        <v>0.2</v>
      </c>
      <c r="K5" s="10"/>
      <c r="L5" s="8">
        <v>0.4</v>
      </c>
      <c r="M5" s="8">
        <v>0.3</v>
      </c>
      <c r="N5" s="9">
        <v>0.3</v>
      </c>
      <c r="P5" s="10"/>
      <c r="Q5" s="8">
        <v>0.4</v>
      </c>
      <c r="R5" s="8">
        <v>0.3</v>
      </c>
      <c r="S5" s="9">
        <v>0.2</v>
      </c>
    </row>
    <row r="6">
      <c r="A6" s="10"/>
      <c r="B6" s="8">
        <v>0.4</v>
      </c>
      <c r="C6" s="8">
        <v>0.3</v>
      </c>
      <c r="D6" s="9">
        <v>0.2</v>
      </c>
      <c r="F6" s="10"/>
      <c r="G6" s="8">
        <v>0.4</v>
      </c>
      <c r="H6" s="8">
        <v>0.3</v>
      </c>
      <c r="I6" s="9">
        <v>0.2</v>
      </c>
      <c r="K6" s="10"/>
      <c r="L6" s="8">
        <v>0.4</v>
      </c>
      <c r="M6" s="8">
        <v>0.3</v>
      </c>
      <c r="N6" s="9">
        <v>0.2</v>
      </c>
      <c r="P6" s="10"/>
      <c r="Q6" s="8">
        <v>0.4</v>
      </c>
      <c r="R6" s="8">
        <v>0.3</v>
      </c>
      <c r="S6" s="9">
        <v>0.2</v>
      </c>
    </row>
    <row r="7">
      <c r="A7" s="10"/>
      <c r="B7" s="8">
        <v>0.4</v>
      </c>
      <c r="C7" s="8">
        <v>0.3</v>
      </c>
      <c r="D7" s="9">
        <v>0.2</v>
      </c>
      <c r="F7" s="10"/>
      <c r="G7" s="8">
        <v>0.4</v>
      </c>
      <c r="H7" s="8">
        <v>0.3</v>
      </c>
      <c r="I7" s="9">
        <v>0.2</v>
      </c>
      <c r="K7" s="10"/>
      <c r="L7" s="8">
        <v>0.4</v>
      </c>
      <c r="M7" s="8">
        <v>0.3</v>
      </c>
      <c r="N7" s="9">
        <v>0.2</v>
      </c>
      <c r="P7" s="10"/>
      <c r="Q7" s="8">
        <v>0.4</v>
      </c>
      <c r="R7" s="8">
        <v>0.3</v>
      </c>
      <c r="S7" s="9">
        <v>0.2</v>
      </c>
    </row>
    <row r="8">
      <c r="A8" s="11" t="s">
        <v>8</v>
      </c>
      <c r="B8" s="12">
        <f t="shared" ref="B8:D8" si="1">AVERAGE(B3:B7)</f>
        <v>0.4</v>
      </c>
      <c r="C8" s="12">
        <f t="shared" si="1"/>
        <v>0.28</v>
      </c>
      <c r="D8" s="13">
        <f t="shared" si="1"/>
        <v>0.22</v>
      </c>
      <c r="F8" s="11" t="s">
        <v>8</v>
      </c>
      <c r="G8" s="12">
        <f t="shared" ref="G8:I8" si="2">AVERAGE(G3:G7)</f>
        <v>0.4</v>
      </c>
      <c r="H8" s="12">
        <f t="shared" si="2"/>
        <v>0.3</v>
      </c>
      <c r="I8" s="13">
        <f t="shared" si="2"/>
        <v>0.2</v>
      </c>
      <c r="K8" s="11" t="s">
        <v>8</v>
      </c>
      <c r="L8" s="12">
        <f t="shared" ref="L8:N8" si="3">AVERAGE(L3:L7)</f>
        <v>0.4</v>
      </c>
      <c r="M8" s="12">
        <f t="shared" si="3"/>
        <v>0.3</v>
      </c>
      <c r="N8" s="13">
        <f t="shared" si="3"/>
        <v>0.22</v>
      </c>
      <c r="P8" s="11" t="s">
        <v>8</v>
      </c>
      <c r="Q8" s="12">
        <f t="shared" ref="Q8:S8" si="4">AVERAGE(Q3:Q7)</f>
        <v>0.4</v>
      </c>
      <c r="R8" s="12">
        <f t="shared" si="4"/>
        <v>0.3</v>
      </c>
      <c r="S8" s="13">
        <f t="shared" si="4"/>
        <v>0.2</v>
      </c>
    </row>
    <row r="9">
      <c r="A9" s="7" t="s">
        <v>9</v>
      </c>
      <c r="B9" s="8">
        <v>0.9</v>
      </c>
      <c r="C9" s="8">
        <v>0.6</v>
      </c>
      <c r="D9" s="9">
        <v>0.5</v>
      </c>
      <c r="F9" s="7" t="s">
        <v>9</v>
      </c>
      <c r="G9" s="8">
        <v>0.7</v>
      </c>
      <c r="H9" s="8">
        <v>0.8</v>
      </c>
      <c r="I9" s="9">
        <v>0.9</v>
      </c>
      <c r="K9" s="7" t="s">
        <v>9</v>
      </c>
      <c r="L9" s="8">
        <v>0.7</v>
      </c>
      <c r="M9" s="8">
        <v>0.9</v>
      </c>
      <c r="N9" s="9">
        <v>0.8</v>
      </c>
      <c r="P9" s="7" t="s">
        <v>9</v>
      </c>
      <c r="Q9" s="8">
        <v>0.8</v>
      </c>
      <c r="R9" s="8">
        <v>0.9</v>
      </c>
      <c r="S9" s="9">
        <v>0.9</v>
      </c>
    </row>
    <row r="10">
      <c r="A10" s="10"/>
      <c r="B10" s="8">
        <v>0.9</v>
      </c>
      <c r="C10" s="8">
        <v>0.6</v>
      </c>
      <c r="D10" s="9">
        <v>0.6</v>
      </c>
      <c r="F10" s="10"/>
      <c r="G10" s="8">
        <v>0.8</v>
      </c>
      <c r="H10" s="8">
        <v>0.7</v>
      </c>
      <c r="I10" s="9">
        <v>0.8</v>
      </c>
      <c r="K10" s="10"/>
      <c r="L10" s="8">
        <v>0.7</v>
      </c>
      <c r="M10" s="8">
        <v>0.9</v>
      </c>
      <c r="N10" s="9">
        <v>0.7</v>
      </c>
      <c r="P10" s="10"/>
      <c r="Q10" s="8">
        <v>0.8</v>
      </c>
      <c r="R10" s="8">
        <v>0.8</v>
      </c>
      <c r="S10" s="9">
        <v>0.9</v>
      </c>
    </row>
    <row r="11">
      <c r="A11" s="10"/>
      <c r="B11" s="8">
        <v>0.7</v>
      </c>
      <c r="C11" s="8">
        <v>0.6</v>
      </c>
      <c r="D11" s="9">
        <v>0.6</v>
      </c>
      <c r="F11" s="10"/>
      <c r="G11" s="8">
        <v>0.8</v>
      </c>
      <c r="H11" s="8">
        <v>0.9</v>
      </c>
      <c r="I11" s="9">
        <v>0.9</v>
      </c>
      <c r="K11" s="10"/>
      <c r="L11" s="8">
        <v>1.1</v>
      </c>
      <c r="M11" s="8">
        <v>0.8</v>
      </c>
      <c r="N11" s="9">
        <v>0.8</v>
      </c>
      <c r="P11" s="10"/>
      <c r="Q11" s="8">
        <v>0.8</v>
      </c>
      <c r="R11" s="8">
        <v>0.9</v>
      </c>
      <c r="S11" s="9">
        <v>0.9</v>
      </c>
    </row>
    <row r="12">
      <c r="A12" s="10"/>
      <c r="B12" s="8">
        <v>0.4</v>
      </c>
      <c r="C12" s="8">
        <v>0.6</v>
      </c>
      <c r="D12" s="9">
        <v>0.5</v>
      </c>
      <c r="F12" s="10"/>
      <c r="G12" s="8">
        <v>1.0</v>
      </c>
      <c r="H12" s="8">
        <v>0.9</v>
      </c>
      <c r="I12" s="9">
        <v>0.9</v>
      </c>
      <c r="K12" s="10"/>
      <c r="L12" s="8">
        <v>0.8</v>
      </c>
      <c r="M12" s="8">
        <v>1.0</v>
      </c>
      <c r="N12" s="9">
        <v>1.0</v>
      </c>
      <c r="P12" s="10"/>
      <c r="Q12" s="8">
        <v>0.8</v>
      </c>
      <c r="R12" s="8">
        <v>0.8</v>
      </c>
      <c r="S12" s="9">
        <v>0.8</v>
      </c>
    </row>
    <row r="13">
      <c r="A13" s="10"/>
      <c r="B13" s="8">
        <v>0.7</v>
      </c>
      <c r="C13" s="8">
        <v>0.6</v>
      </c>
      <c r="D13" s="9">
        <v>0.6</v>
      </c>
      <c r="F13" s="10"/>
      <c r="G13" s="8">
        <v>0.7</v>
      </c>
      <c r="H13" s="8">
        <v>0.9</v>
      </c>
      <c r="I13" s="9">
        <v>0.9</v>
      </c>
      <c r="K13" s="10"/>
      <c r="L13" s="8">
        <v>0.8</v>
      </c>
      <c r="M13" s="8">
        <v>0.8</v>
      </c>
      <c r="N13" s="9">
        <v>0.8</v>
      </c>
      <c r="P13" s="10"/>
      <c r="Q13" s="8">
        <v>0.7</v>
      </c>
      <c r="R13" s="8">
        <v>0.8</v>
      </c>
      <c r="S13" s="9">
        <v>0.8</v>
      </c>
    </row>
    <row r="14">
      <c r="A14" s="11" t="s">
        <v>10</v>
      </c>
      <c r="B14" s="12">
        <f t="shared" ref="B14:D14" si="5">AVERAGE(B9:B13)</f>
        <v>0.72</v>
      </c>
      <c r="C14" s="12">
        <f t="shared" si="5"/>
        <v>0.6</v>
      </c>
      <c r="D14" s="13">
        <f t="shared" si="5"/>
        <v>0.56</v>
      </c>
      <c r="F14" s="11" t="s">
        <v>10</v>
      </c>
      <c r="G14" s="12">
        <f t="shared" ref="G14:I14" si="6">AVERAGE(G9:G13)</f>
        <v>0.8</v>
      </c>
      <c r="H14" s="12">
        <f t="shared" si="6"/>
        <v>0.84</v>
      </c>
      <c r="I14" s="13">
        <f t="shared" si="6"/>
        <v>0.88</v>
      </c>
      <c r="K14" s="11" t="s">
        <v>10</v>
      </c>
      <c r="L14" s="12">
        <f t="shared" ref="L14:N14" si="7">AVERAGE(L9:L13)</f>
        <v>0.82</v>
      </c>
      <c r="M14" s="12">
        <f t="shared" si="7"/>
        <v>0.88</v>
      </c>
      <c r="N14" s="13">
        <f t="shared" si="7"/>
        <v>0.82</v>
      </c>
      <c r="P14" s="11" t="s">
        <v>10</v>
      </c>
      <c r="Q14" s="12">
        <f t="shared" ref="Q14:S14" si="8">AVERAGE(Q9:Q13)</f>
        <v>0.78</v>
      </c>
      <c r="R14" s="12">
        <f t="shared" si="8"/>
        <v>0.84</v>
      </c>
      <c r="S14" s="13">
        <f t="shared" si="8"/>
        <v>0.86</v>
      </c>
    </row>
    <row r="15">
      <c r="A15" s="7" t="s">
        <v>11</v>
      </c>
      <c r="B15" s="8">
        <v>0.0</v>
      </c>
      <c r="C15" s="8">
        <v>0.0</v>
      </c>
      <c r="D15" s="9">
        <v>0.0</v>
      </c>
      <c r="F15" s="7" t="s">
        <v>11</v>
      </c>
      <c r="G15" s="8">
        <v>0.0</v>
      </c>
      <c r="H15" s="8">
        <v>0.0</v>
      </c>
      <c r="I15" s="9">
        <v>0.0</v>
      </c>
      <c r="K15" s="7" t="s">
        <v>11</v>
      </c>
      <c r="L15" s="8">
        <v>0.0</v>
      </c>
      <c r="M15" s="8">
        <v>0.0</v>
      </c>
      <c r="N15" s="9">
        <v>0.0</v>
      </c>
      <c r="P15" s="7" t="s">
        <v>11</v>
      </c>
      <c r="Q15" s="8">
        <v>0.0</v>
      </c>
      <c r="R15" s="8">
        <v>0.0</v>
      </c>
      <c r="S15" s="9">
        <v>0.0</v>
      </c>
    </row>
    <row r="16">
      <c r="A16" s="10"/>
      <c r="B16" s="8">
        <v>0.0</v>
      </c>
      <c r="C16" s="8">
        <v>0.0</v>
      </c>
      <c r="D16" s="9">
        <v>0.0</v>
      </c>
      <c r="F16" s="10"/>
      <c r="G16" s="8">
        <v>0.0</v>
      </c>
      <c r="H16" s="8">
        <v>0.0</v>
      </c>
      <c r="I16" s="9">
        <v>0.0</v>
      </c>
      <c r="K16" s="10"/>
      <c r="L16" s="8">
        <v>0.0</v>
      </c>
      <c r="M16" s="8">
        <v>0.0</v>
      </c>
      <c r="N16" s="9">
        <v>0.0</v>
      </c>
      <c r="P16" s="10"/>
      <c r="Q16" s="8">
        <v>0.0</v>
      </c>
      <c r="R16" s="8">
        <v>0.0</v>
      </c>
      <c r="S16" s="9">
        <v>0.0</v>
      </c>
    </row>
    <row r="17">
      <c r="A17" s="10"/>
      <c r="B17" s="8">
        <v>0.0</v>
      </c>
      <c r="C17" s="8">
        <v>0.0</v>
      </c>
      <c r="D17" s="9">
        <v>0.0</v>
      </c>
      <c r="F17" s="10"/>
      <c r="G17" s="8">
        <v>0.0</v>
      </c>
      <c r="H17" s="8">
        <v>0.0</v>
      </c>
      <c r="I17" s="9">
        <v>0.0</v>
      </c>
      <c r="K17" s="10"/>
      <c r="L17" s="8">
        <v>0.0</v>
      </c>
      <c r="M17" s="8">
        <v>0.0</v>
      </c>
      <c r="N17" s="9">
        <v>0.0</v>
      </c>
      <c r="P17" s="10"/>
      <c r="Q17" s="8">
        <v>0.0</v>
      </c>
      <c r="R17" s="8">
        <v>0.0</v>
      </c>
      <c r="S17" s="9">
        <v>0.0</v>
      </c>
    </row>
    <row r="18">
      <c r="A18" s="10"/>
      <c r="B18" s="8">
        <v>0.0</v>
      </c>
      <c r="C18" s="8">
        <v>0.0</v>
      </c>
      <c r="D18" s="9">
        <v>0.0</v>
      </c>
      <c r="F18" s="10"/>
      <c r="G18" s="8">
        <v>0.0</v>
      </c>
      <c r="H18" s="8">
        <v>0.0</v>
      </c>
      <c r="I18" s="9">
        <v>0.0</v>
      </c>
      <c r="K18" s="10"/>
      <c r="L18" s="8">
        <v>0.0</v>
      </c>
      <c r="M18" s="8">
        <v>0.0</v>
      </c>
      <c r="N18" s="9">
        <v>0.0</v>
      </c>
      <c r="P18" s="10"/>
      <c r="Q18" s="8">
        <v>0.0</v>
      </c>
      <c r="R18" s="8">
        <v>0.0</v>
      </c>
      <c r="S18" s="9">
        <v>0.0</v>
      </c>
    </row>
    <row r="19">
      <c r="A19" s="10"/>
      <c r="B19" s="8">
        <v>0.0</v>
      </c>
      <c r="C19" s="8">
        <v>0.0</v>
      </c>
      <c r="D19" s="9">
        <v>0.0</v>
      </c>
      <c r="F19" s="10"/>
      <c r="G19" s="8">
        <v>0.0</v>
      </c>
      <c r="H19" s="8">
        <v>0.0</v>
      </c>
      <c r="I19" s="9">
        <v>0.0</v>
      </c>
      <c r="K19" s="10"/>
      <c r="L19" s="8">
        <v>0.0</v>
      </c>
      <c r="M19" s="8">
        <v>0.0</v>
      </c>
      <c r="N19" s="9">
        <v>0.0</v>
      </c>
      <c r="P19" s="10"/>
      <c r="Q19" s="8">
        <v>0.0</v>
      </c>
      <c r="R19" s="8">
        <v>0.0</v>
      </c>
      <c r="S19" s="9">
        <v>0.0</v>
      </c>
    </row>
    <row r="20">
      <c r="A20" s="11" t="s">
        <v>12</v>
      </c>
      <c r="B20" s="12">
        <f t="shared" ref="B20:D20" si="9">AVERAGE(B15:B19)</f>
        <v>0</v>
      </c>
      <c r="C20" s="12">
        <f t="shared" si="9"/>
        <v>0</v>
      </c>
      <c r="D20" s="13">
        <f t="shared" si="9"/>
        <v>0</v>
      </c>
      <c r="F20" s="11" t="s">
        <v>12</v>
      </c>
      <c r="G20" s="12">
        <f t="shared" ref="G20:I20" si="10">AVERAGE(G15:G19)</f>
        <v>0</v>
      </c>
      <c r="H20" s="12">
        <f t="shared" si="10"/>
        <v>0</v>
      </c>
      <c r="I20" s="13">
        <f t="shared" si="10"/>
        <v>0</v>
      </c>
      <c r="K20" s="11" t="s">
        <v>12</v>
      </c>
      <c r="L20" s="12">
        <f t="shared" ref="L20:N20" si="11">AVERAGE(L15:L19)</f>
        <v>0</v>
      </c>
      <c r="M20" s="12">
        <f t="shared" si="11"/>
        <v>0</v>
      </c>
      <c r="N20" s="13">
        <f t="shared" si="11"/>
        <v>0</v>
      </c>
      <c r="P20" s="11" t="s">
        <v>12</v>
      </c>
      <c r="Q20" s="12">
        <f t="shared" ref="Q20:S20" si="12">AVERAGE(Q15:Q19)</f>
        <v>0</v>
      </c>
      <c r="R20" s="12">
        <f t="shared" si="12"/>
        <v>0</v>
      </c>
      <c r="S20" s="13">
        <f t="shared" si="12"/>
        <v>0</v>
      </c>
    </row>
    <row r="21">
      <c r="A21" s="7" t="s">
        <v>13</v>
      </c>
      <c r="B21" s="8">
        <v>0.0</v>
      </c>
      <c r="C21" s="8">
        <v>0.0</v>
      </c>
      <c r="D21" s="9">
        <v>0.0</v>
      </c>
      <c r="F21" s="7" t="s">
        <v>13</v>
      </c>
      <c r="G21" s="8">
        <v>0.0</v>
      </c>
      <c r="H21" s="8">
        <v>0.001</v>
      </c>
      <c r="I21" s="9">
        <v>0.0</v>
      </c>
      <c r="K21" s="7" t="s">
        <v>13</v>
      </c>
      <c r="L21" s="8">
        <v>0.0</v>
      </c>
      <c r="M21" s="8">
        <v>0.0</v>
      </c>
      <c r="N21" s="9">
        <v>0.0</v>
      </c>
      <c r="P21" s="7" t="s">
        <v>13</v>
      </c>
      <c r="Q21" s="8">
        <v>0.001</v>
      </c>
      <c r="R21" s="8">
        <v>0.01</v>
      </c>
      <c r="S21" s="9">
        <v>0.001</v>
      </c>
    </row>
    <row r="22">
      <c r="A22" s="10"/>
      <c r="B22" s="8">
        <v>0.0</v>
      </c>
      <c r="C22" s="8">
        <v>0.0</v>
      </c>
      <c r="D22" s="9">
        <v>0.0</v>
      </c>
      <c r="F22" s="10"/>
      <c r="G22" s="8">
        <v>0.0</v>
      </c>
      <c r="H22" s="8">
        <v>0.0</v>
      </c>
      <c r="I22" s="9">
        <v>0.0</v>
      </c>
      <c r="K22" s="10"/>
      <c r="L22" s="8">
        <v>0.0</v>
      </c>
      <c r="M22" s="8">
        <v>0.0</v>
      </c>
      <c r="N22" s="9">
        <v>0.0</v>
      </c>
      <c r="P22" s="10"/>
      <c r="Q22" s="8">
        <v>0.001</v>
      </c>
      <c r="R22" s="8">
        <v>0.002</v>
      </c>
      <c r="S22" s="9">
        <v>0.001</v>
      </c>
    </row>
    <row r="23">
      <c r="A23" s="10"/>
      <c r="B23" s="8">
        <v>0.0</v>
      </c>
      <c r="C23" s="8">
        <v>0.0</v>
      </c>
      <c r="D23" s="9">
        <v>0.0</v>
      </c>
      <c r="F23" s="10"/>
      <c r="G23" s="8">
        <v>0.0</v>
      </c>
      <c r="H23" s="8">
        <v>0.0</v>
      </c>
      <c r="I23" s="9">
        <v>0.0</v>
      </c>
      <c r="K23" s="10"/>
      <c r="L23" s="8">
        <v>0.0</v>
      </c>
      <c r="M23" s="8">
        <v>0.0</v>
      </c>
      <c r="N23" s="9">
        <v>0.0</v>
      </c>
      <c r="P23" s="10"/>
      <c r="Q23" s="8">
        <v>0.001</v>
      </c>
      <c r="R23" s="8">
        <v>0.0</v>
      </c>
      <c r="S23" s="9">
        <v>0.001</v>
      </c>
    </row>
    <row r="24">
      <c r="A24" s="10"/>
      <c r="B24" s="8">
        <v>0.0</v>
      </c>
      <c r="C24" s="8">
        <v>0.0</v>
      </c>
      <c r="D24" s="9">
        <v>0.0</v>
      </c>
      <c r="F24" s="10"/>
      <c r="G24" s="8">
        <v>0.0</v>
      </c>
      <c r="H24" s="8">
        <v>0.0</v>
      </c>
      <c r="I24" s="9">
        <v>0.0</v>
      </c>
      <c r="K24" s="10"/>
      <c r="L24" s="8">
        <v>0.0</v>
      </c>
      <c r="M24" s="8">
        <v>0.0</v>
      </c>
      <c r="N24" s="9">
        <v>0.0</v>
      </c>
      <c r="P24" s="10"/>
      <c r="Q24" s="8">
        <v>0.001</v>
      </c>
      <c r="R24" s="8">
        <v>0.0</v>
      </c>
      <c r="S24" s="9">
        <v>0.001</v>
      </c>
    </row>
    <row r="25">
      <c r="A25" s="10"/>
      <c r="B25" s="8">
        <v>0.0</v>
      </c>
      <c r="C25" s="8">
        <v>0.0</v>
      </c>
      <c r="D25" s="9">
        <v>0.0</v>
      </c>
      <c r="F25" s="10"/>
      <c r="G25" s="8">
        <v>0.0</v>
      </c>
      <c r="H25" s="8">
        <v>0.0</v>
      </c>
      <c r="I25" s="9">
        <v>0.0</v>
      </c>
      <c r="K25" s="10"/>
      <c r="L25" s="8">
        <v>0.0</v>
      </c>
      <c r="M25" s="8">
        <v>0.001</v>
      </c>
      <c r="N25" s="9">
        <v>0.0</v>
      </c>
      <c r="P25" s="10"/>
      <c r="Q25" s="8">
        <v>0.001</v>
      </c>
      <c r="R25" s="8">
        <v>0.0</v>
      </c>
      <c r="S25" s="9">
        <v>0.001</v>
      </c>
    </row>
    <row r="26">
      <c r="A26" s="11" t="s">
        <v>14</v>
      </c>
      <c r="B26" s="12">
        <f t="shared" ref="B26:D26" si="13">AVERAGE(B21:B25)</f>
        <v>0</v>
      </c>
      <c r="C26" s="12">
        <f t="shared" si="13"/>
        <v>0</v>
      </c>
      <c r="D26" s="13">
        <f t="shared" si="13"/>
        <v>0</v>
      </c>
      <c r="F26" s="11" t="s">
        <v>14</v>
      </c>
      <c r="G26" s="12">
        <f t="shared" ref="G26:I26" si="14">AVERAGE(G21:G25)</f>
        <v>0</v>
      </c>
      <c r="H26" s="12">
        <f t="shared" si="14"/>
        <v>0.0002</v>
      </c>
      <c r="I26" s="13">
        <f t="shared" si="14"/>
        <v>0</v>
      </c>
      <c r="K26" s="11" t="s">
        <v>14</v>
      </c>
      <c r="L26" s="12">
        <f t="shared" ref="L26:N26" si="15">AVERAGE(L21:L25)</f>
        <v>0</v>
      </c>
      <c r="M26" s="12">
        <f t="shared" si="15"/>
        <v>0.0002</v>
      </c>
      <c r="N26" s="13">
        <f t="shared" si="15"/>
        <v>0</v>
      </c>
      <c r="P26" s="11" t="s">
        <v>14</v>
      </c>
      <c r="Q26" s="12">
        <f t="shared" ref="Q26:S26" si="16">AVERAGE(Q21:Q25)</f>
        <v>0.001</v>
      </c>
      <c r="R26" s="12">
        <f t="shared" si="16"/>
        <v>0.0024</v>
      </c>
      <c r="S26" s="13">
        <f t="shared" si="16"/>
        <v>0.001</v>
      </c>
    </row>
    <row r="27">
      <c r="A27" s="7" t="s">
        <v>15</v>
      </c>
      <c r="B27" s="8">
        <v>0.4</v>
      </c>
      <c r="C27" s="8">
        <v>0.3</v>
      </c>
      <c r="D27" s="9">
        <v>0.3</v>
      </c>
      <c r="F27" s="7" t="s">
        <v>15</v>
      </c>
      <c r="G27" s="8">
        <v>0.4</v>
      </c>
      <c r="H27" s="8">
        <v>0.4</v>
      </c>
      <c r="I27" s="9">
        <v>0.3</v>
      </c>
      <c r="K27" s="7" t="s">
        <v>15</v>
      </c>
      <c r="L27" s="8">
        <v>0.6</v>
      </c>
      <c r="M27" s="8">
        <v>0.4</v>
      </c>
      <c r="N27" s="9">
        <v>0.3</v>
      </c>
      <c r="P27" s="7" t="s">
        <v>15</v>
      </c>
      <c r="Q27" s="8">
        <v>0.4</v>
      </c>
      <c r="R27" s="8">
        <v>0.4</v>
      </c>
      <c r="S27" s="9">
        <v>0.3</v>
      </c>
    </row>
    <row r="28">
      <c r="A28" s="10"/>
      <c r="B28" s="8">
        <v>0.4</v>
      </c>
      <c r="C28" s="8">
        <v>0.3</v>
      </c>
      <c r="D28" s="9">
        <v>0.2</v>
      </c>
      <c r="F28" s="10"/>
      <c r="G28" s="8">
        <v>0.4</v>
      </c>
      <c r="H28" s="8">
        <v>0.4</v>
      </c>
      <c r="I28" s="9">
        <v>0.3</v>
      </c>
      <c r="K28" s="10"/>
      <c r="L28" s="8">
        <v>0.4</v>
      </c>
      <c r="M28" s="8">
        <v>0.4</v>
      </c>
      <c r="N28" s="9">
        <v>0.4</v>
      </c>
      <c r="P28" s="10"/>
      <c r="Q28" s="8">
        <v>0.4</v>
      </c>
      <c r="R28" s="8">
        <v>0.4</v>
      </c>
      <c r="S28" s="9">
        <v>0.4</v>
      </c>
    </row>
    <row r="29">
      <c r="A29" s="10"/>
      <c r="B29" s="8">
        <v>0.4</v>
      </c>
      <c r="C29" s="8">
        <v>0.2</v>
      </c>
      <c r="D29" s="9">
        <v>0.2</v>
      </c>
      <c r="F29" s="10"/>
      <c r="G29" s="8">
        <v>0.4</v>
      </c>
      <c r="H29" s="8">
        <v>0.4</v>
      </c>
      <c r="I29" s="9">
        <v>0.4</v>
      </c>
      <c r="K29" s="10"/>
      <c r="L29" s="8">
        <v>0.4</v>
      </c>
      <c r="M29" s="8">
        <v>0.4</v>
      </c>
      <c r="N29" s="9">
        <v>0.3</v>
      </c>
      <c r="P29" s="10"/>
      <c r="Q29" s="8">
        <v>0.4</v>
      </c>
      <c r="R29" s="8">
        <v>0.4</v>
      </c>
      <c r="S29" s="9">
        <v>0.4</v>
      </c>
    </row>
    <row r="30">
      <c r="A30" s="10"/>
      <c r="B30" s="8">
        <v>0.4</v>
      </c>
      <c r="C30" s="8">
        <v>0.3</v>
      </c>
      <c r="D30" s="9">
        <v>0.2</v>
      </c>
      <c r="F30" s="10"/>
      <c r="G30" s="8">
        <v>0.4</v>
      </c>
      <c r="H30" s="8">
        <v>0.4</v>
      </c>
      <c r="I30" s="9">
        <v>0.3</v>
      </c>
      <c r="K30" s="10"/>
      <c r="L30" s="8">
        <v>0.4</v>
      </c>
      <c r="M30" s="8">
        <v>0.5</v>
      </c>
      <c r="N30" s="9">
        <v>0.3</v>
      </c>
      <c r="P30" s="10"/>
      <c r="Q30" s="8">
        <v>0.4</v>
      </c>
      <c r="R30" s="8">
        <v>0.4</v>
      </c>
      <c r="S30" s="9">
        <v>0.3</v>
      </c>
    </row>
    <row r="31">
      <c r="A31" s="10"/>
      <c r="B31" s="8">
        <v>0.4</v>
      </c>
      <c r="C31" s="8">
        <v>0.3</v>
      </c>
      <c r="D31" s="9">
        <v>0.2</v>
      </c>
      <c r="F31" s="10"/>
      <c r="G31" s="8">
        <v>0.4</v>
      </c>
      <c r="H31" s="8">
        <v>0.4</v>
      </c>
      <c r="I31" s="9">
        <v>0.4</v>
      </c>
      <c r="K31" s="10"/>
      <c r="L31" s="8">
        <v>0.4</v>
      </c>
      <c r="M31" s="8">
        <v>0.4</v>
      </c>
      <c r="N31" s="9">
        <v>0.3</v>
      </c>
      <c r="P31" s="10"/>
      <c r="Q31" s="8">
        <v>0.4</v>
      </c>
      <c r="R31" s="8">
        <v>0.4</v>
      </c>
      <c r="S31" s="9">
        <v>0.4</v>
      </c>
    </row>
    <row r="32">
      <c r="A32" s="11" t="s">
        <v>16</v>
      </c>
      <c r="B32" s="14">
        <f t="shared" ref="B32:D32" si="17">AVERAGE(B27:B31)</f>
        <v>0.4</v>
      </c>
      <c r="C32" s="14">
        <f t="shared" si="17"/>
        <v>0.28</v>
      </c>
      <c r="D32" s="15">
        <f t="shared" si="17"/>
        <v>0.22</v>
      </c>
      <c r="F32" s="11" t="s">
        <v>16</v>
      </c>
      <c r="G32" s="14">
        <f t="shared" ref="G32:I32" si="18">AVERAGE(G27:G31)</f>
        <v>0.4</v>
      </c>
      <c r="H32" s="14">
        <f t="shared" si="18"/>
        <v>0.4</v>
      </c>
      <c r="I32" s="15">
        <f t="shared" si="18"/>
        <v>0.34</v>
      </c>
      <c r="K32" s="11" t="s">
        <v>16</v>
      </c>
      <c r="L32" s="14">
        <f t="shared" ref="L32:N32" si="19">AVERAGE(L27:L31)</f>
        <v>0.44</v>
      </c>
      <c r="M32" s="14">
        <f t="shared" si="19"/>
        <v>0.42</v>
      </c>
      <c r="N32" s="15">
        <f t="shared" si="19"/>
        <v>0.32</v>
      </c>
      <c r="P32" s="11" t="s">
        <v>16</v>
      </c>
      <c r="Q32" s="14">
        <f t="shared" ref="Q32:S32" si="20">AVERAGE(Q27:Q31)</f>
        <v>0.4</v>
      </c>
      <c r="R32" s="14">
        <f t="shared" si="20"/>
        <v>0.4</v>
      </c>
      <c r="S32" s="15">
        <f t="shared" si="20"/>
        <v>0.36</v>
      </c>
    </row>
    <row r="34">
      <c r="A34" s="1" t="s">
        <v>0</v>
      </c>
      <c r="B34" s="2"/>
      <c r="C34" s="2"/>
      <c r="D34" s="3"/>
      <c r="F34" s="1" t="s">
        <v>1</v>
      </c>
      <c r="G34" s="2"/>
      <c r="H34" s="2"/>
      <c r="I34" s="3"/>
      <c r="K34" s="1" t="s">
        <v>2</v>
      </c>
      <c r="L34" s="2"/>
      <c r="M34" s="2"/>
      <c r="N34" s="3"/>
      <c r="P34" s="1" t="s">
        <v>3</v>
      </c>
      <c r="Q34" s="2"/>
      <c r="R34" s="2"/>
      <c r="S34" s="3"/>
    </row>
    <row r="35">
      <c r="A35" s="16"/>
      <c r="B35" s="11" t="s">
        <v>4</v>
      </c>
      <c r="C35" s="11" t="s">
        <v>5</v>
      </c>
      <c r="D35" s="11" t="s">
        <v>6</v>
      </c>
      <c r="F35" s="16"/>
      <c r="G35" s="11" t="s">
        <v>4</v>
      </c>
      <c r="H35" s="11" t="s">
        <v>5</v>
      </c>
      <c r="I35" s="11" t="s">
        <v>6</v>
      </c>
      <c r="K35" s="16"/>
      <c r="L35" s="11" t="s">
        <v>4</v>
      </c>
      <c r="M35" s="11" t="s">
        <v>5</v>
      </c>
      <c r="N35" s="11" t="s">
        <v>6</v>
      </c>
      <c r="P35" s="16"/>
      <c r="Q35" s="11" t="s">
        <v>4</v>
      </c>
      <c r="R35" s="11" t="s">
        <v>5</v>
      </c>
      <c r="S35" s="11" t="s">
        <v>6</v>
      </c>
    </row>
    <row r="36">
      <c r="A36" s="17" t="s">
        <v>7</v>
      </c>
      <c r="B36" s="18">
        <f t="shared" ref="B36:D36" si="21">B8</f>
        <v>0.4</v>
      </c>
      <c r="C36" s="18">
        <f t="shared" si="21"/>
        <v>0.28</v>
      </c>
      <c r="D36" s="19">
        <f t="shared" si="21"/>
        <v>0.22</v>
      </c>
      <c r="F36" s="17" t="s">
        <v>7</v>
      </c>
      <c r="G36" s="18">
        <f t="shared" ref="G36:I36" si="22">G8</f>
        <v>0.4</v>
      </c>
      <c r="H36" s="18">
        <f t="shared" si="22"/>
        <v>0.3</v>
      </c>
      <c r="I36" s="19">
        <f t="shared" si="22"/>
        <v>0.2</v>
      </c>
      <c r="K36" s="17" t="s">
        <v>7</v>
      </c>
      <c r="L36" s="18">
        <f t="shared" ref="L36:N36" si="23">L8</f>
        <v>0.4</v>
      </c>
      <c r="M36" s="18">
        <f t="shared" si="23"/>
        <v>0.3</v>
      </c>
      <c r="N36" s="19">
        <f t="shared" si="23"/>
        <v>0.22</v>
      </c>
      <c r="P36" s="17" t="s">
        <v>7</v>
      </c>
      <c r="Q36" s="18">
        <f t="shared" ref="Q36:S36" si="24">Q8</f>
        <v>0.4</v>
      </c>
      <c r="R36" s="18">
        <f t="shared" si="24"/>
        <v>0.3</v>
      </c>
      <c r="S36" s="19">
        <f t="shared" si="24"/>
        <v>0.2</v>
      </c>
    </row>
    <row r="37">
      <c r="A37" s="17" t="s">
        <v>9</v>
      </c>
      <c r="B37" s="18">
        <f t="shared" ref="B37:D37" si="25">B14</f>
        <v>0.72</v>
      </c>
      <c r="C37" s="18">
        <f t="shared" si="25"/>
        <v>0.6</v>
      </c>
      <c r="D37" s="19">
        <f t="shared" si="25"/>
        <v>0.56</v>
      </c>
      <c r="F37" s="17" t="s">
        <v>9</v>
      </c>
      <c r="G37" s="18">
        <f t="shared" ref="G37:I37" si="26">G14</f>
        <v>0.8</v>
      </c>
      <c r="H37" s="18">
        <f t="shared" si="26"/>
        <v>0.84</v>
      </c>
      <c r="I37" s="19">
        <f t="shared" si="26"/>
        <v>0.88</v>
      </c>
      <c r="K37" s="17" t="s">
        <v>9</v>
      </c>
      <c r="L37" s="18">
        <f t="shared" ref="L37:N37" si="27">L14</f>
        <v>0.82</v>
      </c>
      <c r="M37" s="18">
        <f t="shared" si="27"/>
        <v>0.88</v>
      </c>
      <c r="N37" s="19">
        <f t="shared" si="27"/>
        <v>0.82</v>
      </c>
      <c r="P37" s="17" t="s">
        <v>9</v>
      </c>
      <c r="Q37" s="18">
        <f t="shared" ref="Q37:S37" si="28">Q14</f>
        <v>0.78</v>
      </c>
      <c r="R37" s="18">
        <f t="shared" si="28"/>
        <v>0.84</v>
      </c>
      <c r="S37" s="19">
        <f t="shared" si="28"/>
        <v>0.86</v>
      </c>
    </row>
    <row r="38">
      <c r="A38" s="17" t="s">
        <v>11</v>
      </c>
      <c r="B38" s="18">
        <f t="shared" ref="B38:D38" si="29">B20</f>
        <v>0</v>
      </c>
      <c r="C38" s="18">
        <f t="shared" si="29"/>
        <v>0</v>
      </c>
      <c r="D38" s="19">
        <f t="shared" si="29"/>
        <v>0</v>
      </c>
      <c r="F38" s="17" t="s">
        <v>11</v>
      </c>
      <c r="G38" s="18">
        <f t="shared" ref="G38:I38" si="30">G20</f>
        <v>0</v>
      </c>
      <c r="H38" s="18">
        <f t="shared" si="30"/>
        <v>0</v>
      </c>
      <c r="I38" s="19">
        <f t="shared" si="30"/>
        <v>0</v>
      </c>
      <c r="K38" s="17" t="s">
        <v>11</v>
      </c>
      <c r="L38" s="18">
        <f t="shared" ref="L38:N38" si="31">L20</f>
        <v>0</v>
      </c>
      <c r="M38" s="18">
        <f t="shared" si="31"/>
        <v>0</v>
      </c>
      <c r="N38" s="19">
        <f t="shared" si="31"/>
        <v>0</v>
      </c>
      <c r="P38" s="17" t="s">
        <v>11</v>
      </c>
      <c r="Q38" s="18">
        <f t="shared" ref="Q38:S38" si="32">Q20</f>
        <v>0</v>
      </c>
      <c r="R38" s="18">
        <f t="shared" si="32"/>
        <v>0</v>
      </c>
      <c r="S38" s="19">
        <f t="shared" si="32"/>
        <v>0</v>
      </c>
    </row>
    <row r="39">
      <c r="A39" s="17" t="s">
        <v>13</v>
      </c>
      <c r="B39" s="18">
        <f t="shared" ref="B39:D39" si="33">B26</f>
        <v>0</v>
      </c>
      <c r="C39" s="18">
        <f t="shared" si="33"/>
        <v>0</v>
      </c>
      <c r="D39" s="19">
        <f t="shared" si="33"/>
        <v>0</v>
      </c>
      <c r="F39" s="17" t="s">
        <v>13</v>
      </c>
      <c r="G39" s="18">
        <f t="shared" ref="G39:I39" si="34">G26</f>
        <v>0</v>
      </c>
      <c r="H39" s="18">
        <f t="shared" si="34"/>
        <v>0.0002</v>
      </c>
      <c r="I39" s="19">
        <f t="shared" si="34"/>
        <v>0</v>
      </c>
      <c r="K39" s="17" t="s">
        <v>13</v>
      </c>
      <c r="L39" s="18">
        <f t="shared" ref="L39:N39" si="35">L26</f>
        <v>0</v>
      </c>
      <c r="M39" s="18">
        <f t="shared" si="35"/>
        <v>0.0002</v>
      </c>
      <c r="N39" s="19">
        <f t="shared" si="35"/>
        <v>0</v>
      </c>
      <c r="P39" s="17" t="s">
        <v>13</v>
      </c>
      <c r="Q39" s="18">
        <f t="shared" ref="Q39:S39" si="36">Q26</f>
        <v>0.001</v>
      </c>
      <c r="R39" s="18">
        <f t="shared" si="36"/>
        <v>0.0024</v>
      </c>
      <c r="S39" s="19">
        <f t="shared" si="36"/>
        <v>0.001</v>
      </c>
    </row>
    <row r="40">
      <c r="A40" s="20" t="s">
        <v>15</v>
      </c>
      <c r="B40" s="21">
        <f t="shared" ref="B40:D40" si="37">B32</f>
        <v>0.4</v>
      </c>
      <c r="C40" s="21">
        <f t="shared" si="37"/>
        <v>0.28</v>
      </c>
      <c r="D40" s="22">
        <f t="shared" si="37"/>
        <v>0.22</v>
      </c>
      <c r="F40" s="20" t="s">
        <v>15</v>
      </c>
      <c r="G40" s="21">
        <f t="shared" ref="G40:I40" si="38">G32</f>
        <v>0.4</v>
      </c>
      <c r="H40" s="21">
        <f t="shared" si="38"/>
        <v>0.4</v>
      </c>
      <c r="I40" s="22">
        <f t="shared" si="38"/>
        <v>0.34</v>
      </c>
      <c r="K40" s="20" t="s">
        <v>15</v>
      </c>
      <c r="L40" s="21">
        <f t="shared" ref="L40:N40" si="39">L32</f>
        <v>0.44</v>
      </c>
      <c r="M40" s="21">
        <f t="shared" si="39"/>
        <v>0.42</v>
      </c>
      <c r="N40" s="22">
        <f t="shared" si="39"/>
        <v>0.32</v>
      </c>
      <c r="P40" s="20" t="s">
        <v>15</v>
      </c>
      <c r="Q40" s="21">
        <f t="shared" ref="Q40:S40" si="40">Q32</f>
        <v>0.4</v>
      </c>
      <c r="R40" s="21">
        <f t="shared" si="40"/>
        <v>0.4</v>
      </c>
      <c r="S40" s="22">
        <f t="shared" si="40"/>
        <v>0.36</v>
      </c>
    </row>
    <row r="45">
      <c r="A45" s="23"/>
      <c r="E45" s="18"/>
      <c r="F45" s="1" t="s">
        <v>0</v>
      </c>
      <c r="G45" s="2"/>
      <c r="H45" s="3"/>
      <c r="I45" s="1" t="s">
        <v>1</v>
      </c>
      <c r="J45" s="2"/>
      <c r="K45" s="3"/>
      <c r="L45" s="1" t="s">
        <v>2</v>
      </c>
      <c r="M45" s="2"/>
      <c r="N45" s="3"/>
      <c r="O45" s="1" t="s">
        <v>3</v>
      </c>
      <c r="P45" s="2"/>
      <c r="Q45" s="3"/>
    </row>
    <row r="46">
      <c r="E46" s="24"/>
      <c r="F46" s="25" t="s">
        <v>4</v>
      </c>
      <c r="G46" s="25" t="s">
        <v>5</v>
      </c>
      <c r="H46" s="25" t="s">
        <v>6</v>
      </c>
      <c r="I46" s="25" t="s">
        <v>4</v>
      </c>
      <c r="J46" s="25" t="s">
        <v>5</v>
      </c>
      <c r="K46" s="25" t="s">
        <v>6</v>
      </c>
      <c r="L46" s="25" t="s">
        <v>4</v>
      </c>
      <c r="M46" s="25" t="s">
        <v>5</v>
      </c>
      <c r="N46" s="25" t="s">
        <v>6</v>
      </c>
      <c r="O46" s="25" t="s">
        <v>4</v>
      </c>
      <c r="P46" s="25" t="s">
        <v>5</v>
      </c>
      <c r="Q46" s="25" t="s">
        <v>6</v>
      </c>
    </row>
    <row r="47">
      <c r="E47" s="17" t="s">
        <v>7</v>
      </c>
      <c r="F47" s="26">
        <v>0.4</v>
      </c>
      <c r="G47" s="26">
        <v>0.28</v>
      </c>
      <c r="H47" s="27">
        <v>0.21999999999999997</v>
      </c>
      <c r="I47" s="28">
        <v>0.4</v>
      </c>
      <c r="J47" s="26">
        <v>0.3</v>
      </c>
      <c r="K47" s="27">
        <v>0.2</v>
      </c>
      <c r="L47" s="28">
        <v>0.4</v>
      </c>
      <c r="M47" s="26">
        <v>0.3</v>
      </c>
      <c r="N47" s="27">
        <v>0.21999999999999997</v>
      </c>
      <c r="O47" s="28">
        <v>0.4</v>
      </c>
      <c r="P47" s="26">
        <v>0.3</v>
      </c>
      <c r="Q47" s="27">
        <v>0.2</v>
      </c>
    </row>
    <row r="48">
      <c r="E48" s="17" t="s">
        <v>9</v>
      </c>
      <c r="F48" s="26">
        <v>0.72</v>
      </c>
      <c r="G48" s="26">
        <v>0.6</v>
      </c>
      <c r="H48" s="27">
        <v>0.56</v>
      </c>
      <c r="I48" s="28">
        <v>0.8</v>
      </c>
      <c r="J48" s="26">
        <v>0.8400000000000001</v>
      </c>
      <c r="K48" s="27">
        <v>0.8800000000000001</v>
      </c>
      <c r="L48" s="28">
        <v>0.82</v>
      </c>
      <c r="M48" s="26">
        <v>0.8800000000000001</v>
      </c>
      <c r="N48" s="27">
        <v>0.82</v>
      </c>
      <c r="O48" s="28">
        <v>0.78</v>
      </c>
      <c r="P48" s="26">
        <v>0.8400000000000001</v>
      </c>
      <c r="Q48" s="27">
        <v>0.86</v>
      </c>
    </row>
    <row r="49">
      <c r="A49" s="23"/>
      <c r="E49" s="17" t="s">
        <v>11</v>
      </c>
      <c r="F49" s="26">
        <v>0.0</v>
      </c>
      <c r="G49" s="26">
        <v>0.0</v>
      </c>
      <c r="H49" s="27">
        <v>0.0</v>
      </c>
      <c r="I49" s="28">
        <v>0.0</v>
      </c>
      <c r="J49" s="26">
        <v>0.0</v>
      </c>
      <c r="K49" s="27">
        <v>0.0</v>
      </c>
      <c r="L49" s="28">
        <v>0.0</v>
      </c>
      <c r="M49" s="26">
        <v>0.0</v>
      </c>
      <c r="N49" s="27">
        <v>0.0</v>
      </c>
      <c r="O49" s="28">
        <v>0.0</v>
      </c>
      <c r="P49" s="26">
        <v>0.0</v>
      </c>
      <c r="Q49" s="27">
        <v>0.0</v>
      </c>
    </row>
    <row r="50">
      <c r="A50" s="23"/>
      <c r="E50" s="17" t="s">
        <v>13</v>
      </c>
      <c r="F50" s="26">
        <v>0.0</v>
      </c>
      <c r="G50" s="26">
        <v>0.0</v>
      </c>
      <c r="H50" s="27">
        <v>0.0</v>
      </c>
      <c r="I50" s="28">
        <v>0.0</v>
      </c>
      <c r="J50" s="26">
        <v>2.0E-4</v>
      </c>
      <c r="K50" s="27">
        <v>0.0</v>
      </c>
      <c r="L50" s="28">
        <v>0.0</v>
      </c>
      <c r="M50" s="26">
        <v>2.0E-4</v>
      </c>
      <c r="N50" s="27">
        <v>0.0</v>
      </c>
      <c r="O50" s="28">
        <v>0.001</v>
      </c>
      <c r="P50" s="26">
        <v>0.0024000000000000002</v>
      </c>
      <c r="Q50" s="27">
        <v>0.001</v>
      </c>
    </row>
    <row r="51">
      <c r="E51" s="20" t="s">
        <v>15</v>
      </c>
      <c r="F51" s="29">
        <v>0.4</v>
      </c>
      <c r="G51" s="29">
        <v>0.28</v>
      </c>
      <c r="H51" s="30">
        <v>0.21999999999999997</v>
      </c>
      <c r="I51" s="31">
        <v>0.4</v>
      </c>
      <c r="J51" s="29">
        <v>0.4</v>
      </c>
      <c r="K51" s="30">
        <v>0.34</v>
      </c>
      <c r="L51" s="31">
        <v>0.43999999999999995</v>
      </c>
      <c r="M51" s="29">
        <v>0.42000000000000004</v>
      </c>
      <c r="N51" s="30">
        <v>0.32</v>
      </c>
      <c r="O51" s="31">
        <v>0.4</v>
      </c>
      <c r="P51" s="29">
        <v>0.4</v>
      </c>
      <c r="Q51" s="30">
        <v>0.36000000000000004</v>
      </c>
    </row>
    <row r="53">
      <c r="A53" s="23"/>
    </row>
    <row r="54">
      <c r="A54" s="23"/>
    </row>
    <row r="55">
      <c r="A55" s="23"/>
    </row>
    <row r="57">
      <c r="A57" s="23"/>
    </row>
    <row r="58">
      <c r="A58" s="23"/>
    </row>
    <row r="59">
      <c r="A59" s="23"/>
    </row>
    <row r="60">
      <c r="A60" s="23"/>
    </row>
  </sheetData>
  <mergeCells count="33">
    <mergeCell ref="A1:D1"/>
    <mergeCell ref="F1:I1"/>
    <mergeCell ref="K1:N1"/>
    <mergeCell ref="P1:S1"/>
    <mergeCell ref="F3:F7"/>
    <mergeCell ref="K3:K7"/>
    <mergeCell ref="P3:P7"/>
    <mergeCell ref="P9:P13"/>
    <mergeCell ref="P15:P19"/>
    <mergeCell ref="P21:P25"/>
    <mergeCell ref="P27:P31"/>
    <mergeCell ref="O45:Q45"/>
    <mergeCell ref="F15:F19"/>
    <mergeCell ref="F21:F25"/>
    <mergeCell ref="F27:F31"/>
    <mergeCell ref="E45:E46"/>
    <mergeCell ref="F45:H45"/>
    <mergeCell ref="I45:K45"/>
    <mergeCell ref="L45:N45"/>
    <mergeCell ref="A21:A25"/>
    <mergeCell ref="A27:A31"/>
    <mergeCell ref="A15:A19"/>
    <mergeCell ref="A34:D34"/>
    <mergeCell ref="F34:I34"/>
    <mergeCell ref="K34:N34"/>
    <mergeCell ref="P34:S34"/>
    <mergeCell ref="A3:A7"/>
    <mergeCell ref="A9:A13"/>
    <mergeCell ref="F9:F13"/>
    <mergeCell ref="K9:K13"/>
    <mergeCell ref="K15:K19"/>
    <mergeCell ref="K21:K25"/>
    <mergeCell ref="K27:K31"/>
  </mergeCells>
  <conditionalFormatting sqref="B36:D40 G36:I40 L36:N40 Q36:S40">
    <cfRule type="colorScale" priority="1">
      <colorScale>
        <cfvo type="min"/>
        <cfvo type="percentile" val="50"/>
        <cfvo type="max"/>
        <color rgb="FF57BB8A"/>
        <color rgb="FFFFFFFF"/>
        <color rgb="FFE67C73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5"/>
  </cols>
  <sheetData>
    <row r="1">
      <c r="A1" s="19"/>
      <c r="B1" s="1" t="s">
        <v>0</v>
      </c>
      <c r="C1" s="2"/>
      <c r="D1" s="2"/>
      <c r="E1" s="1" t="s">
        <v>17</v>
      </c>
      <c r="F1" s="2"/>
      <c r="G1" s="3"/>
      <c r="I1" s="8"/>
      <c r="J1" s="8"/>
      <c r="K1" s="8"/>
      <c r="L1" s="8"/>
      <c r="N1" s="8"/>
      <c r="O1" s="8"/>
      <c r="P1" s="8"/>
      <c r="Q1" s="8"/>
    </row>
    <row r="2">
      <c r="A2" s="10"/>
      <c r="B2" s="32" t="s">
        <v>4</v>
      </c>
      <c r="C2" s="32" t="s">
        <v>5</v>
      </c>
      <c r="D2" s="33" t="s">
        <v>6</v>
      </c>
      <c r="E2" s="32" t="s">
        <v>4</v>
      </c>
      <c r="F2" s="32" t="s">
        <v>5</v>
      </c>
      <c r="G2" s="33" t="s">
        <v>6</v>
      </c>
      <c r="I2" s="26"/>
      <c r="J2" s="8"/>
      <c r="K2" s="8"/>
      <c r="L2" s="8"/>
      <c r="N2" s="26"/>
      <c r="O2" s="8"/>
      <c r="P2" s="8"/>
      <c r="Q2" s="8"/>
    </row>
    <row r="3" ht="31.5" customHeight="1">
      <c r="A3" s="34" t="s">
        <v>18</v>
      </c>
      <c r="B3" s="35">
        <v>83.0</v>
      </c>
      <c r="C3" s="35">
        <v>100.0</v>
      </c>
      <c r="D3" s="36">
        <v>100.0</v>
      </c>
      <c r="E3" s="35">
        <v>83.0</v>
      </c>
      <c r="F3" s="35">
        <v>100.0</v>
      </c>
      <c r="G3" s="36">
        <v>100.0</v>
      </c>
      <c r="I3" s="8"/>
      <c r="N3" s="8"/>
    </row>
    <row r="4" ht="31.5" customHeight="1">
      <c r="A4" s="37" t="s">
        <v>19</v>
      </c>
      <c r="B4" s="8" t="s">
        <v>20</v>
      </c>
      <c r="C4" s="8" t="s">
        <v>21</v>
      </c>
      <c r="D4" s="9" t="s">
        <v>22</v>
      </c>
      <c r="E4" s="8" t="s">
        <v>20</v>
      </c>
      <c r="F4" s="8" t="s">
        <v>23</v>
      </c>
      <c r="G4" s="9" t="s">
        <v>24</v>
      </c>
    </row>
    <row r="5" ht="31.5" customHeight="1">
      <c r="A5" s="37" t="s">
        <v>25</v>
      </c>
      <c r="B5" s="8">
        <v>1.0</v>
      </c>
      <c r="C5" s="8">
        <v>12.0</v>
      </c>
      <c r="D5" s="9">
        <v>15.0</v>
      </c>
      <c r="E5" s="8">
        <v>1.0</v>
      </c>
      <c r="F5" s="8">
        <v>12.0</v>
      </c>
      <c r="G5" s="9">
        <v>11.0</v>
      </c>
    </row>
    <row r="6" ht="31.5" customHeight="1">
      <c r="A6" s="37" t="s">
        <v>26</v>
      </c>
      <c r="B6" s="8" t="s">
        <v>27</v>
      </c>
      <c r="C6" s="8" t="s">
        <v>28</v>
      </c>
      <c r="D6" s="9" t="s">
        <v>29</v>
      </c>
      <c r="E6" s="8" t="s">
        <v>27</v>
      </c>
      <c r="F6" s="8" t="s">
        <v>28</v>
      </c>
      <c r="G6" s="9" t="s">
        <v>30</v>
      </c>
    </row>
    <row r="7" ht="31.5" customHeight="1">
      <c r="A7" s="37" t="s">
        <v>31</v>
      </c>
      <c r="B7" s="8">
        <v>9.0</v>
      </c>
      <c r="C7" s="8">
        <v>20.0</v>
      </c>
      <c r="D7" s="9">
        <v>23.0</v>
      </c>
      <c r="E7" s="8">
        <v>134.0</v>
      </c>
      <c r="F7" s="8">
        <v>212.0</v>
      </c>
      <c r="G7" s="9">
        <v>144.0</v>
      </c>
    </row>
    <row r="8" ht="31.5" customHeight="1">
      <c r="A8" s="37" t="s">
        <v>32</v>
      </c>
      <c r="B8" s="8" t="s">
        <v>33</v>
      </c>
      <c r="C8" s="8" t="s">
        <v>34</v>
      </c>
      <c r="D8" s="9" t="s">
        <v>35</v>
      </c>
      <c r="E8" s="8" t="s">
        <v>36</v>
      </c>
      <c r="F8" s="8" t="s">
        <v>37</v>
      </c>
      <c r="G8" s="9" t="s">
        <v>36</v>
      </c>
    </row>
    <row r="9" ht="31.5" customHeight="1">
      <c r="A9" s="38" t="s">
        <v>38</v>
      </c>
      <c r="B9" s="5" t="s">
        <v>39</v>
      </c>
      <c r="C9" s="5" t="s">
        <v>40</v>
      </c>
      <c r="D9" s="6" t="s">
        <v>41</v>
      </c>
      <c r="E9" s="5" t="s">
        <v>42</v>
      </c>
      <c r="F9" s="5" t="s">
        <v>43</v>
      </c>
      <c r="G9" s="6" t="s">
        <v>44</v>
      </c>
    </row>
  </sheetData>
  <mergeCells count="3">
    <mergeCell ref="A1:A2"/>
    <mergeCell ref="B1:D1"/>
    <mergeCell ref="E1:G1"/>
  </mergeCells>
  <drawing r:id="rId2"/>
  <legacyDrawing r:id="rId3"/>
</worksheet>
</file>